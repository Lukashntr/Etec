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xr:revisionPtr revIDLastSave="0" documentId="13_ncr:1_{70D28A38-1820-4AB3-865B-6D618C2BFEF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ilha 1" sheetId="1" r:id="rId1"/>
    <sheet name="Planilha 2" sheetId="5" r:id="rId2"/>
    <sheet name="Planilha 3" sheetId="3" r:id="rId3"/>
    <sheet name="Planilha 4" sheetId="4" r:id="rId4"/>
    <sheet name="Planilha 5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0" i="5" l="1"/>
  <c r="D9" i="5"/>
  <c r="D8" i="5"/>
  <c r="D7" i="5"/>
  <c r="D6" i="5"/>
  <c r="D5" i="5"/>
  <c r="F5" i="1" l="1"/>
  <c r="F6" i="1"/>
  <c r="F7" i="1"/>
  <c r="F8" i="1"/>
  <c r="F9" i="1"/>
  <c r="F10" i="1"/>
  <c r="F11" i="1"/>
  <c r="F12" i="1"/>
  <c r="F13" i="1"/>
  <c r="F14" i="1"/>
  <c r="F15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Pinheiro</author>
  </authors>
  <commentList>
    <comment ref="G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Pinheiro:</t>
        </r>
        <r>
          <rPr>
            <sz val="9"/>
            <color indexed="81"/>
            <rFont val="Segoe UI"/>
            <family val="2"/>
          </rPr>
          <t xml:space="preserve">
Faça a função SE onde se a media for maior que 6,5,a falta menor que 25%, e bonus maior que 6 então Bom aluno senão Mau aluno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
Definir, usando a função SE, a alíquota do imposto a ser pago.
Quem ganha menos de R$ 1.500,00 paga 10%. Quem ganha de R$ 1.500,00 em diante paga 20%.</t>
        </r>
      </text>
    </comment>
    <comment ref="D3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
O imposto a pagar é calculado multiplicando-se o salário bruto pela alíquota correspondente.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</author>
  </authors>
  <commentList>
    <comment ref="D4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
Calcule aqui o estoque atual de cada item. Ele é igual ao estoque inicial menos a soma das saídas, do dia 1º ao dia 31.</t>
        </r>
      </text>
    </comment>
    <comment ref="E4" authorId="0" shapeId="0" xr:uid="{00000000-0006-0000-0300-000002000000}">
      <text>
        <r>
          <rPr>
            <sz val="8"/>
            <color indexed="81"/>
            <rFont val="Tahoma"/>
            <family val="2"/>
          </rPr>
          <t>Indique aqui se já é hora de comprar mais de cada um dos itens. Nesta coluna deve aparecer OK ou COMPRAR.
SE o estoque atual for menor que o estoque mínimo, o status é COMPRAR. Caso contrário, o status é OK.
UTILIZE FORMATAÇÃO CONDICIONAL PARA EXIBIR AS CÉLULAS COM O VALOR "OK" EM VERMELHO E AS CÉLULAS COM O VALOR "COMPRAR" EM AZUL.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Wilians Souza</author>
  </authors>
  <commentList>
    <comment ref="G4" authorId="0" shapeId="0" xr:uid="{00000000-0006-0000-0400-000001000000}">
      <text>
        <r>
          <rPr>
            <sz val="8"/>
            <color indexed="81"/>
            <rFont val="Tahoma"/>
            <family val="2"/>
          </rPr>
          <t>Se o funcionário tiver um salário base igual ou menor a R$2.800,00 e se o número de dependentes for igual ou maior do que 2. 
Se sim ganha 34% , senão somente salario base.</t>
        </r>
      </text>
    </comment>
  </commentList>
</comments>
</file>

<file path=xl/sharedStrings.xml><?xml version="1.0" encoding="utf-8"?>
<sst xmlns="http://schemas.openxmlformats.org/spreadsheetml/2006/main" count="90" uniqueCount="89">
  <si>
    <t>Média</t>
  </si>
  <si>
    <t>Resultado</t>
  </si>
  <si>
    <t>Aluno</t>
  </si>
  <si>
    <t>Tiago</t>
  </si>
  <si>
    <t>Luís</t>
  </si>
  <si>
    <t>Sérgio</t>
  </si>
  <si>
    <t>Cássia</t>
  </si>
  <si>
    <t>Ivan</t>
  </si>
  <si>
    <t>Rafael</t>
  </si>
  <si>
    <t>Alice</t>
  </si>
  <si>
    <t>Cristina</t>
  </si>
  <si>
    <t>Daniel</t>
  </si>
  <si>
    <t>Rubens</t>
  </si>
  <si>
    <t>Leandro</t>
  </si>
  <si>
    <t>Cibele</t>
  </si>
  <si>
    <t>Escola Nota Dez</t>
  </si>
  <si>
    <t>1º Bim.</t>
  </si>
  <si>
    <t>2º Bim.</t>
  </si>
  <si>
    <t>3º Bim.</t>
  </si>
  <si>
    <t>4º Bim.</t>
  </si>
  <si>
    <t>Item</t>
  </si>
  <si>
    <t>Funcionário</t>
  </si>
  <si>
    <t>Salário Bruto</t>
  </si>
  <si>
    <t>Alíquota</t>
  </si>
  <si>
    <t>Imposto a Pagar</t>
  </si>
  <si>
    <t>Empresa Muito Legal - Pagamento de Salários - Março/2004</t>
  </si>
  <si>
    <t>José</t>
  </si>
  <si>
    <t>Geraldo</t>
  </si>
  <si>
    <t>Afonso</t>
  </si>
  <si>
    <t>Reinaldo</t>
  </si>
  <si>
    <t>Laura</t>
  </si>
  <si>
    <t>Felipe</t>
  </si>
  <si>
    <t>Miguel</t>
  </si>
  <si>
    <t>André</t>
  </si>
  <si>
    <t>João</t>
  </si>
  <si>
    <t>Juliano</t>
  </si>
  <si>
    <t>Marcela</t>
  </si>
  <si>
    <t>Caio</t>
  </si>
  <si>
    <t>Caneta Azul</t>
  </si>
  <si>
    <t>Caneta Vermelha</t>
  </si>
  <si>
    <t>Caneta Verde</t>
  </si>
  <si>
    <t>Caneta Preta</t>
  </si>
  <si>
    <t>Lapiseira</t>
  </si>
  <si>
    <t>Borracha</t>
  </si>
  <si>
    <t>Régua</t>
  </si>
  <si>
    <t>Estoque Atual</t>
  </si>
  <si>
    <t>SAÍDAS</t>
  </si>
  <si>
    <t>Papelaria DuPapel</t>
  </si>
  <si>
    <t>Status</t>
  </si>
  <si>
    <t>salários menores que R$ 1.500,00 pagam 10%</t>
  </si>
  <si>
    <t>salários maiores ou iguais a R$ 1.500,00 pagam 20%</t>
  </si>
  <si>
    <t>Bonus</t>
  </si>
  <si>
    <t>faltas</t>
  </si>
  <si>
    <t>CONTROLE ACADÊMICO</t>
  </si>
  <si>
    <t>Alunos</t>
  </si>
  <si>
    <t>1° BIM</t>
  </si>
  <si>
    <t>2° BIM</t>
  </si>
  <si>
    <t>Faltas</t>
  </si>
  <si>
    <t>Situação.</t>
  </si>
  <si>
    <t>Joao carlos</t>
  </si>
  <si>
    <t>Maria Luiza</t>
  </si>
  <si>
    <t>Carla Maria</t>
  </si>
  <si>
    <t>Mauricio Cruz</t>
  </si>
  <si>
    <t>Humberto Silva</t>
  </si>
  <si>
    <t>Sofia leandro</t>
  </si>
  <si>
    <t>Maria eduarda</t>
  </si>
  <si>
    <t>a</t>
  </si>
  <si>
    <t>Função SE com 3 condições</t>
  </si>
  <si>
    <t>Salario liquido</t>
  </si>
  <si>
    <t>Estoque Mín</t>
  </si>
  <si>
    <t>Estoque Ini</t>
  </si>
  <si>
    <t>Se Média maior 6, Faltas menor que 25% e bonus maior que 6, então aprovado, senão reprovado</t>
  </si>
  <si>
    <t>Extra</t>
  </si>
  <si>
    <t>Se aluno com média maior que 5 e extra maior que 5 e faltas menor que 25%, aprovado, senão reprovado</t>
  </si>
  <si>
    <t>Folha de Pagamento -  CONTEC</t>
  </si>
  <si>
    <t>N Reg</t>
  </si>
  <si>
    <t>Nome</t>
  </si>
  <si>
    <t>Data Nasc.</t>
  </si>
  <si>
    <t>Admissão</t>
  </si>
  <si>
    <t>Salário Base</t>
  </si>
  <si>
    <t>N de
Dependentes</t>
  </si>
  <si>
    <t>Total a 
Receber</t>
  </si>
  <si>
    <t>Edgar Gouveia</t>
  </si>
  <si>
    <t>Gessé Viana</t>
  </si>
  <si>
    <t>Gilmar Mascarenhas</t>
  </si>
  <si>
    <t>Osmar Silva</t>
  </si>
  <si>
    <t>Salomão Radish</t>
  </si>
  <si>
    <t>Veronica Marques</t>
  </si>
  <si>
    <t>Xerxes Amorim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</si>
</sst>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0.0"/>
    <numFmt numFmtId="166" formatCode="0.0%"/>
  </numFmts>
  <fonts count="26" x14ac:knownFonts="1">
    <font>
      <sz val="10"/>
      <name val="Arial"/>
    </font>
    <font>
      <sz val="10"/>
      <name val="Arial"/>
      <family val="2"/>
    </font>
    <font>
      <sz val="10"/>
      <color indexed="18"/>
      <name val="Arial"/>
      <family val="2"/>
    </font>
    <font>
      <b/>
      <i/>
      <sz val="12"/>
      <color indexed="17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  <family val="2"/>
    </font>
    <font>
      <sz val="8"/>
      <color indexed="1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8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"/>
      <color theme="3" tint="-0.249977111117893"/>
      <name val="Arial"/>
      <family val="2"/>
    </font>
    <font>
      <b/>
      <sz val="16"/>
      <color theme="3" tint="-0.249977111117893"/>
      <name val="Bookman Old Style"/>
      <family val="1"/>
    </font>
    <font>
      <sz val="12"/>
      <color theme="0"/>
      <name val="Arial"/>
      <family val="2"/>
    </font>
    <font>
      <i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color indexed="1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indexed="9"/>
        <bgColor indexed="2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7" fillId="0" borderId="0" xfId="0" applyFont="1" applyBorder="1" applyAlignment="1">
      <alignment horizontal="left"/>
    </xf>
    <xf numFmtId="0" fontId="4" fillId="0" borderId="0" xfId="0" applyFont="1" applyAlignment="1"/>
    <xf numFmtId="0" fontId="9" fillId="0" borderId="0" xfId="0" applyFont="1"/>
    <xf numFmtId="0" fontId="4" fillId="9" borderId="0" xfId="0" applyFont="1" applyFill="1" applyAlignment="1"/>
    <xf numFmtId="0" fontId="13" fillId="0" borderId="0" xfId="0" applyFont="1" applyBorder="1"/>
    <xf numFmtId="0" fontId="0" fillId="0" borderId="0" xfId="0" applyAlignment="1">
      <alignment horizontal="center"/>
    </xf>
    <xf numFmtId="0" fontId="13" fillId="0" borderId="1" xfId="0" applyFont="1" applyBorder="1"/>
    <xf numFmtId="2" fontId="13" fillId="0" borderId="1" xfId="0" applyNumberFormat="1" applyFont="1" applyBorder="1"/>
    <xf numFmtId="9" fontId="13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 applyAlignment="1">
      <alignment horizontal="left"/>
    </xf>
    <xf numFmtId="165" fontId="15" fillId="0" borderId="1" xfId="0" applyNumberFormat="1" applyFont="1" applyBorder="1"/>
    <xf numFmtId="166" fontId="15" fillId="0" borderId="1" xfId="0" applyNumberFormat="1" applyFont="1" applyBorder="1"/>
    <xf numFmtId="0" fontId="13" fillId="7" borderId="0" xfId="0" applyFont="1" applyFill="1"/>
    <xf numFmtId="0" fontId="12" fillId="7" borderId="0" xfId="0" applyFont="1" applyFill="1"/>
    <xf numFmtId="0" fontId="18" fillId="2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2" fillId="0" borderId="0" xfId="0" applyFont="1"/>
    <xf numFmtId="0" fontId="0" fillId="0" borderId="0" xfId="0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20" fillId="10" borderId="0" xfId="0" applyFont="1" applyFill="1" applyBorder="1" applyAlignment="1">
      <alignment horizontal="center" vertical="center"/>
    </xf>
    <xf numFmtId="0" fontId="20" fillId="10" borderId="0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64" fontId="13" fillId="0" borderId="2" xfId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64" fontId="13" fillId="0" borderId="1" xfId="1" applyFont="1" applyBorder="1" applyAlignment="1">
      <alignment horizontal="center"/>
    </xf>
    <xf numFmtId="0" fontId="12" fillId="3" borderId="9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/>
    <xf numFmtId="0" fontId="21" fillId="3" borderId="2" xfId="0" applyFont="1" applyFill="1" applyBorder="1"/>
    <xf numFmtId="0" fontId="13" fillId="0" borderId="2" xfId="0" applyFont="1" applyBorder="1"/>
    <xf numFmtId="0" fontId="21" fillId="3" borderId="1" xfId="0" applyFont="1" applyFill="1" applyBorder="1"/>
    <xf numFmtId="0" fontId="22" fillId="4" borderId="5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/>
    <xf numFmtId="164" fontId="24" fillId="5" borderId="1" xfId="1" applyFont="1" applyFill="1" applyBorder="1" applyAlignment="1"/>
    <xf numFmtId="9" fontId="24" fillId="5" borderId="1" xfId="2" applyFont="1" applyFill="1" applyBorder="1" applyAlignment="1"/>
    <xf numFmtId="44" fontId="24" fillId="5" borderId="1" xfId="0" applyNumberFormat="1" applyFont="1" applyFill="1" applyBorder="1" applyAlignment="1"/>
    <xf numFmtId="44" fontId="13" fillId="0" borderId="1" xfId="0" applyNumberFormat="1" applyFont="1" applyBorder="1"/>
    <xf numFmtId="0" fontId="25" fillId="0" borderId="1" xfId="0" applyFont="1" applyBorder="1"/>
    <xf numFmtId="0" fontId="25" fillId="0" borderId="0" xfId="0" applyFont="1"/>
    <xf numFmtId="0" fontId="13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27"/>
  <sheetViews>
    <sheetView tabSelected="1" workbookViewId="0">
      <selection activeCell="L7" sqref="L7"/>
    </sheetView>
  </sheetViews>
  <sheetFormatPr defaultRowHeight="12.75" x14ac:dyDescent="0.2"/>
  <cols>
    <col min="1" max="1" width="10.7109375" customWidth="1"/>
    <col min="2" max="2" width="11.140625" customWidth="1"/>
    <col min="3" max="3" width="11" customWidth="1"/>
    <col min="4" max="4" width="13.28515625" customWidth="1"/>
    <col min="5" max="5" width="11.85546875" customWidth="1"/>
    <col min="6" max="6" width="11" customWidth="1"/>
    <col min="7" max="8" width="13" customWidth="1"/>
    <col min="9" max="9" width="15.7109375" customWidth="1"/>
  </cols>
  <sheetData>
    <row r="1" spans="1:9" ht="20.25" x14ac:dyDescent="0.3">
      <c r="A1" s="24" t="s">
        <v>15</v>
      </c>
      <c r="B1" s="24"/>
      <c r="C1" s="24"/>
      <c r="D1" s="24"/>
      <c r="E1" s="24"/>
      <c r="F1" s="24"/>
      <c r="G1" s="24"/>
      <c r="H1" s="24"/>
      <c r="I1" s="24"/>
    </row>
    <row r="2" spans="1:9" ht="15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ht="15.75" x14ac:dyDescent="0.25">
      <c r="A3" s="22" t="s">
        <v>2</v>
      </c>
      <c r="B3" s="22" t="s">
        <v>16</v>
      </c>
      <c r="C3" s="22" t="s">
        <v>17</v>
      </c>
      <c r="D3" s="22" t="s">
        <v>18</v>
      </c>
      <c r="E3" s="22" t="s">
        <v>19</v>
      </c>
      <c r="F3" s="22" t="s">
        <v>0</v>
      </c>
      <c r="G3" s="22" t="s">
        <v>72</v>
      </c>
      <c r="H3" s="23" t="s">
        <v>52</v>
      </c>
      <c r="I3" s="23" t="s">
        <v>1</v>
      </c>
    </row>
    <row r="4" spans="1:9" ht="15" x14ac:dyDescent="0.2">
      <c r="A4" s="17" t="s">
        <v>3</v>
      </c>
      <c r="B4" s="18">
        <v>8</v>
      </c>
      <c r="C4" s="18">
        <v>8</v>
      </c>
      <c r="D4" s="18">
        <v>7</v>
      </c>
      <c r="E4" s="18">
        <v>6.5</v>
      </c>
      <c r="F4" s="18">
        <f>AVERAGE(B4:E4)</f>
        <v>7.375</v>
      </c>
      <c r="G4" s="18">
        <v>7</v>
      </c>
      <c r="H4" s="19">
        <v>0.27</v>
      </c>
      <c r="I4" s="16"/>
    </row>
    <row r="5" spans="1:9" ht="15" x14ac:dyDescent="0.2">
      <c r="A5" s="17" t="s">
        <v>4</v>
      </c>
      <c r="B5" s="18">
        <v>4</v>
      </c>
      <c r="C5" s="18">
        <v>2</v>
      </c>
      <c r="D5" s="18">
        <v>2.5</v>
      </c>
      <c r="E5" s="18">
        <v>3</v>
      </c>
      <c r="F5" s="18">
        <f t="shared" ref="F5:F15" si="0">AVERAGE(B5:E5)</f>
        <v>2.875</v>
      </c>
      <c r="G5" s="18">
        <v>5</v>
      </c>
      <c r="H5" s="19">
        <v>0.25</v>
      </c>
      <c r="I5" s="16"/>
    </row>
    <row r="6" spans="1:9" ht="15" x14ac:dyDescent="0.2">
      <c r="A6" s="17" t="s">
        <v>5</v>
      </c>
      <c r="B6" s="18">
        <v>6.5</v>
      </c>
      <c r="C6" s="18">
        <v>7.5</v>
      </c>
      <c r="D6" s="18">
        <v>7</v>
      </c>
      <c r="E6" s="18">
        <v>8.5</v>
      </c>
      <c r="F6" s="18">
        <f t="shared" si="0"/>
        <v>7.375</v>
      </c>
      <c r="G6" s="18">
        <v>8</v>
      </c>
      <c r="H6" s="19">
        <v>0.34</v>
      </c>
      <c r="I6" s="16"/>
    </row>
    <row r="7" spans="1:9" ht="15" x14ac:dyDescent="0.2">
      <c r="A7" s="17" t="s">
        <v>6</v>
      </c>
      <c r="B7" s="18">
        <v>5</v>
      </c>
      <c r="C7" s="18">
        <v>5.5</v>
      </c>
      <c r="D7" s="18">
        <v>6.5</v>
      </c>
      <c r="E7" s="18">
        <v>4</v>
      </c>
      <c r="F7" s="18">
        <f t="shared" si="0"/>
        <v>5.25</v>
      </c>
      <c r="G7" s="18">
        <v>6</v>
      </c>
      <c r="H7" s="19">
        <v>0.22</v>
      </c>
      <c r="I7" s="16"/>
    </row>
    <row r="8" spans="1:9" ht="15" x14ac:dyDescent="0.2">
      <c r="A8" s="17" t="s">
        <v>7</v>
      </c>
      <c r="B8" s="18">
        <v>7</v>
      </c>
      <c r="C8" s="18">
        <v>7.5</v>
      </c>
      <c r="D8" s="18">
        <v>8</v>
      </c>
      <c r="E8" s="18">
        <v>7</v>
      </c>
      <c r="F8" s="18">
        <f t="shared" si="0"/>
        <v>7.375</v>
      </c>
      <c r="G8" s="18">
        <v>4</v>
      </c>
      <c r="H8" s="19">
        <v>0.21</v>
      </c>
      <c r="I8" s="16"/>
    </row>
    <row r="9" spans="1:9" ht="15" x14ac:dyDescent="0.2">
      <c r="A9" s="17" t="s">
        <v>8</v>
      </c>
      <c r="B9" s="18">
        <v>8</v>
      </c>
      <c r="C9" s="18">
        <v>6.5</v>
      </c>
      <c r="D9" s="18">
        <v>5</v>
      </c>
      <c r="E9" s="18">
        <v>7.5</v>
      </c>
      <c r="F9" s="18">
        <f t="shared" si="0"/>
        <v>6.75</v>
      </c>
      <c r="G9" s="18">
        <v>7</v>
      </c>
      <c r="H9" s="19">
        <v>0.17</v>
      </c>
      <c r="I9" s="16"/>
    </row>
    <row r="10" spans="1:9" ht="15" x14ac:dyDescent="0.2">
      <c r="A10" s="17" t="s">
        <v>9</v>
      </c>
      <c r="B10" s="18">
        <v>2.5</v>
      </c>
      <c r="C10" s="18">
        <v>3</v>
      </c>
      <c r="D10" s="18">
        <v>4</v>
      </c>
      <c r="E10" s="18">
        <v>4.5</v>
      </c>
      <c r="F10" s="18">
        <f t="shared" si="0"/>
        <v>3.5</v>
      </c>
      <c r="G10" s="18">
        <v>7</v>
      </c>
      <c r="H10" s="19">
        <v>0.18</v>
      </c>
      <c r="I10" s="16"/>
    </row>
    <row r="11" spans="1:9" ht="15" x14ac:dyDescent="0.2">
      <c r="A11" s="17" t="s">
        <v>10</v>
      </c>
      <c r="B11" s="18">
        <v>4.5</v>
      </c>
      <c r="C11" s="18">
        <v>6.5</v>
      </c>
      <c r="D11" s="18">
        <v>5.5</v>
      </c>
      <c r="E11" s="18">
        <v>4.5</v>
      </c>
      <c r="F11" s="18">
        <f t="shared" si="0"/>
        <v>5.25</v>
      </c>
      <c r="G11" s="18">
        <v>4.9000000000000004</v>
      </c>
      <c r="H11" s="19">
        <v>0.35</v>
      </c>
      <c r="I11" s="16"/>
    </row>
    <row r="12" spans="1:9" ht="15" x14ac:dyDescent="0.2">
      <c r="A12" s="17" t="s">
        <v>11</v>
      </c>
      <c r="B12" s="18">
        <v>10</v>
      </c>
      <c r="C12" s="18">
        <v>9.5</v>
      </c>
      <c r="D12" s="18">
        <v>9</v>
      </c>
      <c r="E12" s="18">
        <v>10</v>
      </c>
      <c r="F12" s="18">
        <f t="shared" si="0"/>
        <v>9.625</v>
      </c>
      <c r="G12" s="18">
        <v>6</v>
      </c>
      <c r="H12" s="19">
        <v>0.56000000000000005</v>
      </c>
      <c r="I12" s="16"/>
    </row>
    <row r="13" spans="1:9" ht="15" x14ac:dyDescent="0.2">
      <c r="A13" s="17" t="s">
        <v>12</v>
      </c>
      <c r="B13" s="18">
        <v>5</v>
      </c>
      <c r="C13" s="18">
        <v>4.5</v>
      </c>
      <c r="D13" s="18">
        <v>5.5</v>
      </c>
      <c r="E13" s="18">
        <v>6</v>
      </c>
      <c r="F13" s="18">
        <f t="shared" si="0"/>
        <v>5.25</v>
      </c>
      <c r="G13" s="18">
        <v>7</v>
      </c>
      <c r="H13" s="19">
        <v>0.28999999999999998</v>
      </c>
      <c r="I13" s="16"/>
    </row>
    <row r="14" spans="1:9" ht="15" x14ac:dyDescent="0.2">
      <c r="A14" s="17" t="s">
        <v>13</v>
      </c>
      <c r="B14" s="18">
        <v>6.5</v>
      </c>
      <c r="C14" s="18">
        <v>7.5</v>
      </c>
      <c r="D14" s="18">
        <v>8</v>
      </c>
      <c r="E14" s="18">
        <v>7.5</v>
      </c>
      <c r="F14" s="18">
        <f t="shared" si="0"/>
        <v>7.375</v>
      </c>
      <c r="G14" s="18">
        <v>6</v>
      </c>
      <c r="H14" s="19">
        <v>0.56000000000000005</v>
      </c>
      <c r="I14" s="16"/>
    </row>
    <row r="15" spans="1:9" ht="15" x14ac:dyDescent="0.2">
      <c r="A15" s="17" t="s">
        <v>14</v>
      </c>
      <c r="B15" s="18">
        <v>8.5</v>
      </c>
      <c r="C15" s="18">
        <v>9</v>
      </c>
      <c r="D15" s="18">
        <v>8.5</v>
      </c>
      <c r="E15" s="18">
        <v>7.5</v>
      </c>
      <c r="F15" s="18">
        <f t="shared" si="0"/>
        <v>8.375</v>
      </c>
      <c r="G15" s="18">
        <v>7.3</v>
      </c>
      <c r="H15" s="19">
        <v>0.27</v>
      </c>
      <c r="I15" s="16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1"/>
    </row>
    <row r="17" spans="1:14" x14ac:dyDescent="0.2">
      <c r="A17" s="7"/>
    </row>
    <row r="18" spans="1:14" ht="12.75" customHeight="1" x14ac:dyDescent="0.2">
      <c r="A18" s="25" t="s">
        <v>73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4" x14ac:dyDescent="0.2">
      <c r="A22" s="8"/>
      <c r="B22" s="8"/>
      <c r="C22" s="8"/>
      <c r="D22" s="8"/>
      <c r="E22" s="8"/>
      <c r="F22" s="8"/>
      <c r="G22" s="8"/>
      <c r="H22" s="8"/>
    </row>
    <row r="23" spans="1:14" x14ac:dyDescent="0.2">
      <c r="A23" s="8"/>
      <c r="B23" s="8"/>
      <c r="C23" s="8"/>
      <c r="D23" s="8"/>
      <c r="E23" s="8"/>
      <c r="F23" s="8"/>
      <c r="G23" s="8"/>
      <c r="H23" s="8"/>
    </row>
    <row r="24" spans="1:14" x14ac:dyDescent="0.2">
      <c r="A24" s="8"/>
      <c r="B24" s="8"/>
      <c r="C24" s="8"/>
      <c r="D24" s="8"/>
      <c r="E24" s="8"/>
      <c r="F24" s="8"/>
      <c r="G24" s="8"/>
      <c r="H24" s="8"/>
    </row>
    <row r="25" spans="1:14" x14ac:dyDescent="0.2">
      <c r="A25" s="8"/>
      <c r="B25" s="8"/>
      <c r="C25" s="8"/>
      <c r="D25" s="8"/>
      <c r="E25" s="8"/>
      <c r="F25" s="8"/>
      <c r="G25" s="8"/>
      <c r="H25" s="8"/>
    </row>
    <row r="26" spans="1:14" x14ac:dyDescent="0.2">
      <c r="A26" s="8"/>
      <c r="B26" s="8"/>
      <c r="C26" s="8"/>
      <c r="D26" s="8"/>
      <c r="E26" s="8"/>
      <c r="F26" s="10"/>
      <c r="G26" s="8"/>
      <c r="H26" s="8"/>
    </row>
    <row r="27" spans="1:14" x14ac:dyDescent="0.2">
      <c r="A27" s="8"/>
      <c r="B27" s="8"/>
      <c r="C27" s="8"/>
      <c r="D27" s="8"/>
      <c r="E27" s="8"/>
      <c r="F27" s="8"/>
      <c r="G27" s="8"/>
      <c r="H27" s="8"/>
    </row>
  </sheetData>
  <mergeCells count="2">
    <mergeCell ref="A1:I1"/>
    <mergeCell ref="A18:N20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A4" sqref="A4:G12"/>
    </sheetView>
  </sheetViews>
  <sheetFormatPr defaultRowHeight="12.75" x14ac:dyDescent="0.2"/>
  <cols>
    <col min="1" max="1" width="17.7109375" customWidth="1"/>
    <col min="2" max="2" width="12.140625" customWidth="1"/>
    <col min="3" max="3" width="12.28515625" customWidth="1"/>
    <col min="4" max="4" width="12.140625" customWidth="1"/>
    <col min="5" max="5" width="12" customWidth="1"/>
    <col min="6" max="6" width="10.85546875" customWidth="1"/>
    <col min="7" max="7" width="22" customWidth="1"/>
    <col min="8" max="8" width="13.28515625" customWidth="1"/>
  </cols>
  <sheetData>
    <row r="1" spans="1:9" x14ac:dyDescent="0.2">
      <c r="A1" s="26" t="s">
        <v>53</v>
      </c>
      <c r="B1" s="27"/>
      <c r="C1" s="27"/>
      <c r="D1" s="27"/>
      <c r="E1" s="27"/>
      <c r="F1" s="27"/>
      <c r="G1" s="27"/>
    </row>
    <row r="2" spans="1:9" x14ac:dyDescent="0.2">
      <c r="A2" s="27"/>
      <c r="B2" s="27"/>
      <c r="C2" s="27"/>
      <c r="D2" s="27"/>
      <c r="E2" s="27"/>
      <c r="F2" s="27"/>
      <c r="G2" s="27"/>
    </row>
    <row r="3" spans="1:9" ht="15.75" x14ac:dyDescent="0.25">
      <c r="A3" s="20" t="s">
        <v>54</v>
      </c>
      <c r="B3" s="20" t="s">
        <v>55</v>
      </c>
      <c r="C3" s="20" t="s">
        <v>56</v>
      </c>
      <c r="D3" s="21" t="s">
        <v>0</v>
      </c>
      <c r="E3" s="21" t="s">
        <v>57</v>
      </c>
      <c r="F3" s="21" t="s">
        <v>51</v>
      </c>
      <c r="G3" s="21" t="s">
        <v>58</v>
      </c>
    </row>
    <row r="4" spans="1:9" ht="15" x14ac:dyDescent="0.2">
      <c r="A4" s="13" t="s">
        <v>59</v>
      </c>
      <c r="B4" s="14">
        <v>3</v>
      </c>
      <c r="C4" s="14">
        <v>9</v>
      </c>
      <c r="D4" s="14">
        <v>7</v>
      </c>
      <c r="E4" s="15">
        <v>0.18</v>
      </c>
      <c r="F4" s="14">
        <v>6</v>
      </c>
      <c r="G4" s="13"/>
    </row>
    <row r="5" spans="1:9" ht="15" x14ac:dyDescent="0.2">
      <c r="A5" s="13" t="s">
        <v>60</v>
      </c>
      <c r="B5" s="14">
        <v>6</v>
      </c>
      <c r="C5" s="14">
        <v>8</v>
      </c>
      <c r="D5" s="14">
        <f t="shared" ref="D5:D9" si="0">AVERAGE(B5:C5)</f>
        <v>7</v>
      </c>
      <c r="E5" s="15">
        <v>0.17</v>
      </c>
      <c r="F5" s="14">
        <v>7</v>
      </c>
      <c r="G5" s="13"/>
    </row>
    <row r="6" spans="1:9" ht="15" x14ac:dyDescent="0.2">
      <c r="A6" s="13" t="s">
        <v>61</v>
      </c>
      <c r="B6" s="14">
        <v>9</v>
      </c>
      <c r="C6" s="14">
        <v>3</v>
      </c>
      <c r="D6" s="14">
        <f t="shared" si="0"/>
        <v>6</v>
      </c>
      <c r="E6" s="15">
        <v>0.32</v>
      </c>
      <c r="F6" s="14">
        <v>7</v>
      </c>
      <c r="G6" s="13"/>
    </row>
    <row r="7" spans="1:9" ht="15" x14ac:dyDescent="0.2">
      <c r="A7" s="13" t="s">
        <v>62</v>
      </c>
      <c r="B7" s="14">
        <v>6</v>
      </c>
      <c r="C7" s="14">
        <v>7</v>
      </c>
      <c r="D7" s="14">
        <f t="shared" si="0"/>
        <v>6.5</v>
      </c>
      <c r="E7" s="15">
        <v>0.22</v>
      </c>
      <c r="F7" s="14">
        <v>7</v>
      </c>
      <c r="G7" s="13"/>
    </row>
    <row r="8" spans="1:9" ht="15" x14ac:dyDescent="0.2">
      <c r="A8" s="13" t="s">
        <v>63</v>
      </c>
      <c r="B8" s="14">
        <v>4</v>
      </c>
      <c r="C8" s="14">
        <v>9</v>
      </c>
      <c r="D8" s="14">
        <f t="shared" si="0"/>
        <v>6.5</v>
      </c>
      <c r="E8" s="15">
        <v>0.17</v>
      </c>
      <c r="F8" s="14">
        <v>3</v>
      </c>
      <c r="G8" s="13"/>
    </row>
    <row r="9" spans="1:9" ht="15" x14ac:dyDescent="0.2">
      <c r="A9" s="13" t="s">
        <v>64</v>
      </c>
      <c r="B9" s="14">
        <v>8</v>
      </c>
      <c r="C9" s="14">
        <v>6</v>
      </c>
      <c r="D9" s="14">
        <f t="shared" si="0"/>
        <v>7</v>
      </c>
      <c r="E9" s="15">
        <v>0.24</v>
      </c>
      <c r="F9" s="14">
        <v>8</v>
      </c>
      <c r="G9" s="13"/>
    </row>
    <row r="10" spans="1:9" ht="15" x14ac:dyDescent="0.2">
      <c r="A10" s="13" t="s">
        <v>65</v>
      </c>
      <c r="B10" s="14">
        <v>7</v>
      </c>
      <c r="C10" s="14">
        <v>8</v>
      </c>
      <c r="D10" s="14">
        <f>AVERAGE(B10,C10)</f>
        <v>7.5</v>
      </c>
      <c r="E10" s="15">
        <v>0.28999999999999998</v>
      </c>
      <c r="F10" s="14">
        <v>7</v>
      </c>
      <c r="G10" s="13"/>
    </row>
    <row r="11" spans="1:9" ht="15" x14ac:dyDescent="0.2">
      <c r="A11" s="13"/>
      <c r="B11" s="13"/>
      <c r="C11" s="13"/>
      <c r="D11" s="13"/>
      <c r="E11" s="13"/>
      <c r="F11" s="13"/>
      <c r="G11" s="13"/>
    </row>
    <row r="12" spans="1:9" x14ac:dyDescent="0.2">
      <c r="A12" s="3"/>
      <c r="B12" s="3"/>
      <c r="C12" s="3"/>
      <c r="D12" s="3"/>
      <c r="E12" s="3"/>
      <c r="F12" s="3"/>
      <c r="G12" s="3"/>
    </row>
    <row r="14" spans="1:9" ht="15.75" x14ac:dyDescent="0.25">
      <c r="A14" s="28" t="s">
        <v>67</v>
      </c>
      <c r="B14" s="29"/>
      <c r="C14" s="29"/>
      <c r="D14" s="29"/>
      <c r="E14" s="29"/>
    </row>
    <row r="16" spans="1:9" ht="12.75" customHeight="1" x14ac:dyDescent="0.2">
      <c r="A16" s="30" t="s">
        <v>71</v>
      </c>
      <c r="B16" s="30"/>
      <c r="C16" s="30"/>
      <c r="D16" s="30"/>
      <c r="E16" s="30"/>
      <c r="F16" s="30"/>
      <c r="G16" s="30"/>
      <c r="H16" s="30"/>
      <c r="I16" s="30"/>
    </row>
    <row r="17" spans="1:10" ht="12.75" customHeight="1" x14ac:dyDescent="0.2">
      <c r="A17" s="30"/>
      <c r="B17" s="30"/>
      <c r="C17" s="30"/>
      <c r="D17" s="30"/>
      <c r="E17" s="30"/>
      <c r="F17" s="30"/>
      <c r="G17" s="30"/>
      <c r="H17" s="30"/>
      <c r="I17" s="30"/>
    </row>
    <row r="18" spans="1:10" x14ac:dyDescent="0.2">
      <c r="A18" s="30"/>
      <c r="B18" s="30"/>
      <c r="C18" s="30"/>
      <c r="D18" s="30"/>
      <c r="E18" s="30"/>
      <c r="F18" s="30"/>
      <c r="G18" s="30"/>
      <c r="H18" s="30"/>
      <c r="I18" s="30"/>
    </row>
    <row r="20" spans="1:10" x14ac:dyDescent="0.2">
      <c r="J20" t="s">
        <v>66</v>
      </c>
    </row>
  </sheetData>
  <mergeCells count="3">
    <mergeCell ref="A1:G2"/>
    <mergeCell ref="A14:E14"/>
    <mergeCell ref="A16:I18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E18"/>
  <sheetViews>
    <sheetView workbookViewId="0">
      <selection activeCell="I8" sqref="I8"/>
    </sheetView>
  </sheetViews>
  <sheetFormatPr defaultRowHeight="12.75" x14ac:dyDescent="0.2"/>
  <cols>
    <col min="1" max="1" width="17.28515625" customWidth="1"/>
    <col min="2" max="2" width="18.7109375" customWidth="1"/>
    <col min="3" max="3" width="15" customWidth="1"/>
    <col min="4" max="4" width="25.5703125" customWidth="1"/>
    <col min="5" max="5" width="15.85546875" customWidth="1"/>
    <col min="6" max="6" width="18.42578125" customWidth="1"/>
  </cols>
  <sheetData>
    <row r="1" spans="1:5" ht="18.75" customHeight="1" x14ac:dyDescent="0.2">
      <c r="A1" s="31" t="s">
        <v>25</v>
      </c>
      <c r="B1" s="31"/>
      <c r="C1" s="31"/>
      <c r="D1" s="31"/>
      <c r="E1" s="2"/>
    </row>
    <row r="3" spans="1:5" ht="15.75" x14ac:dyDescent="0.2">
      <c r="A3" s="50" t="s">
        <v>21</v>
      </c>
      <c r="B3" s="51" t="s">
        <v>22</v>
      </c>
      <c r="C3" s="51" t="s">
        <v>23</v>
      </c>
      <c r="D3" s="50" t="s">
        <v>24</v>
      </c>
      <c r="E3" s="50" t="s">
        <v>68</v>
      </c>
    </row>
    <row r="4" spans="1:5" ht="15.75" x14ac:dyDescent="0.25">
      <c r="A4" s="52" t="s">
        <v>26</v>
      </c>
      <c r="B4" s="53">
        <v>1500</v>
      </c>
      <c r="C4" s="54"/>
      <c r="D4" s="55"/>
      <c r="E4" s="56"/>
    </row>
    <row r="5" spans="1:5" ht="15.75" x14ac:dyDescent="0.25">
      <c r="A5" s="52" t="s">
        <v>27</v>
      </c>
      <c r="B5" s="53">
        <v>800</v>
      </c>
      <c r="C5" s="54"/>
      <c r="D5" s="55"/>
      <c r="E5" s="56"/>
    </row>
    <row r="6" spans="1:5" ht="15.75" x14ac:dyDescent="0.25">
      <c r="A6" s="52" t="s">
        <v>28</v>
      </c>
      <c r="B6" s="53">
        <v>450</v>
      </c>
      <c r="C6" s="54"/>
      <c r="D6" s="55"/>
      <c r="E6" s="56"/>
    </row>
    <row r="7" spans="1:5" ht="15.75" x14ac:dyDescent="0.25">
      <c r="A7" s="52" t="s">
        <v>29</v>
      </c>
      <c r="B7" s="53">
        <v>1200</v>
      </c>
      <c r="C7" s="54"/>
      <c r="D7" s="55"/>
      <c r="E7" s="56"/>
    </row>
    <row r="8" spans="1:5" ht="15.75" x14ac:dyDescent="0.25">
      <c r="A8" s="52" t="s">
        <v>30</v>
      </c>
      <c r="B8" s="53">
        <v>3500</v>
      </c>
      <c r="C8" s="54"/>
      <c r="D8" s="55"/>
      <c r="E8" s="56"/>
    </row>
    <row r="9" spans="1:5" ht="15.75" x14ac:dyDescent="0.25">
      <c r="A9" s="52" t="s">
        <v>31</v>
      </c>
      <c r="B9" s="53">
        <v>650</v>
      </c>
      <c r="C9" s="54"/>
      <c r="D9" s="55"/>
      <c r="E9" s="56"/>
    </row>
    <row r="10" spans="1:5" ht="15.75" x14ac:dyDescent="0.25">
      <c r="A10" s="52" t="s">
        <v>32</v>
      </c>
      <c r="B10" s="53">
        <v>750</v>
      </c>
      <c r="C10" s="54"/>
      <c r="D10" s="55"/>
      <c r="E10" s="56"/>
    </row>
    <row r="11" spans="1:5" ht="15.75" x14ac:dyDescent="0.25">
      <c r="A11" s="52" t="s">
        <v>33</v>
      </c>
      <c r="B11" s="53">
        <v>2500</v>
      </c>
      <c r="C11" s="54"/>
      <c r="D11" s="55"/>
      <c r="E11" s="56"/>
    </row>
    <row r="12" spans="1:5" ht="15.75" x14ac:dyDescent="0.25">
      <c r="A12" s="52" t="s">
        <v>34</v>
      </c>
      <c r="B12" s="53">
        <v>950</v>
      </c>
      <c r="C12" s="54"/>
      <c r="D12" s="55"/>
      <c r="E12" s="56"/>
    </row>
    <row r="13" spans="1:5" ht="15.75" x14ac:dyDescent="0.25">
      <c r="A13" s="52" t="s">
        <v>35</v>
      </c>
      <c r="B13" s="53">
        <v>1300</v>
      </c>
      <c r="C13" s="54"/>
      <c r="D13" s="55"/>
      <c r="E13" s="56"/>
    </row>
    <row r="14" spans="1:5" ht="15.75" x14ac:dyDescent="0.25">
      <c r="A14" s="52" t="s">
        <v>36</v>
      </c>
      <c r="B14" s="53">
        <v>900</v>
      </c>
      <c r="C14" s="54"/>
      <c r="D14" s="55"/>
      <c r="E14" s="56"/>
    </row>
    <row r="15" spans="1:5" ht="15.75" x14ac:dyDescent="0.25">
      <c r="A15" s="52" t="s">
        <v>37</v>
      </c>
      <c r="B15" s="53">
        <v>850</v>
      </c>
      <c r="C15" s="54"/>
      <c r="D15" s="55"/>
      <c r="E15" s="56"/>
    </row>
    <row r="16" spans="1:5" ht="15" x14ac:dyDescent="0.2">
      <c r="A16" s="13"/>
      <c r="B16" s="13"/>
      <c r="C16" s="54"/>
      <c r="D16" s="55"/>
      <c r="E16" s="56"/>
    </row>
    <row r="17" spans="1:5" ht="15" x14ac:dyDescent="0.2">
      <c r="A17" s="57" t="s">
        <v>49</v>
      </c>
      <c r="B17" s="13"/>
      <c r="C17" s="54"/>
      <c r="D17" s="55"/>
      <c r="E17" s="13"/>
    </row>
    <row r="18" spans="1:5" ht="15" x14ac:dyDescent="0.2">
      <c r="A18" s="58" t="s">
        <v>50</v>
      </c>
      <c r="B18" s="59"/>
      <c r="C18" s="59"/>
      <c r="D18" s="59"/>
      <c r="E18" s="59"/>
    </row>
  </sheetData>
  <mergeCells count="1">
    <mergeCell ref="A1:D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AJ12"/>
  <sheetViews>
    <sheetView workbookViewId="0">
      <selection activeCell="J25" sqref="J25"/>
    </sheetView>
  </sheetViews>
  <sheetFormatPr defaultRowHeight="12.75" x14ac:dyDescent="0.2"/>
  <cols>
    <col min="1" max="1" width="15.85546875" customWidth="1"/>
    <col min="2" max="2" width="11.5703125" customWidth="1"/>
    <col min="3" max="3" width="11.28515625" customWidth="1"/>
    <col min="4" max="4" width="14.85546875" customWidth="1"/>
    <col min="5" max="5" width="11.7109375" customWidth="1"/>
    <col min="6" max="36" width="4.42578125" customWidth="1"/>
  </cols>
  <sheetData>
    <row r="1" spans="1:36" ht="18" x14ac:dyDescent="0.25">
      <c r="A1" s="5" t="s">
        <v>47</v>
      </c>
    </row>
    <row r="3" spans="1:36" ht="13.5" thickBot="1" x14ac:dyDescent="0.25"/>
    <row r="4" spans="1:36" ht="14.25" customHeight="1" thickTop="1" x14ac:dyDescent="0.25">
      <c r="A4" s="41" t="s">
        <v>20</v>
      </c>
      <c r="B4" s="41" t="s">
        <v>69</v>
      </c>
      <c r="C4" s="41" t="s">
        <v>70</v>
      </c>
      <c r="D4" s="41" t="s">
        <v>45</v>
      </c>
      <c r="E4" s="41" t="s">
        <v>48</v>
      </c>
      <c r="F4" s="42" t="s">
        <v>46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4"/>
    </row>
    <row r="5" spans="1:36" s="4" customFormat="1" ht="16.5" thickBot="1" x14ac:dyDescent="0.3">
      <c r="A5" s="45"/>
      <c r="B5" s="45"/>
      <c r="C5" s="45"/>
      <c r="D5" s="45"/>
      <c r="E5" s="45"/>
      <c r="F5" s="46">
        <v>1</v>
      </c>
      <c r="G5" s="46">
        <v>2</v>
      </c>
      <c r="H5" s="46">
        <v>3</v>
      </c>
      <c r="I5" s="46">
        <v>4</v>
      </c>
      <c r="J5" s="46">
        <v>5</v>
      </c>
      <c r="K5" s="46">
        <v>6</v>
      </c>
      <c r="L5" s="46">
        <v>7</v>
      </c>
      <c r="M5" s="46">
        <v>8</v>
      </c>
      <c r="N5" s="46">
        <v>9</v>
      </c>
      <c r="O5" s="46">
        <v>10</v>
      </c>
      <c r="P5" s="46">
        <v>11</v>
      </c>
      <c r="Q5" s="46">
        <v>12</v>
      </c>
      <c r="R5" s="46">
        <v>13</v>
      </c>
      <c r="S5" s="46">
        <v>14</v>
      </c>
      <c r="T5" s="46">
        <v>15</v>
      </c>
      <c r="U5" s="46">
        <v>16</v>
      </c>
      <c r="V5" s="46">
        <v>17</v>
      </c>
      <c r="W5" s="46">
        <v>18</v>
      </c>
      <c r="X5" s="46">
        <v>19</v>
      </c>
      <c r="Y5" s="46">
        <v>20</v>
      </c>
      <c r="Z5" s="46">
        <v>21</v>
      </c>
      <c r="AA5" s="46">
        <v>22</v>
      </c>
      <c r="AB5" s="46">
        <v>23</v>
      </c>
      <c r="AC5" s="46">
        <v>24</v>
      </c>
      <c r="AD5" s="46">
        <v>25</v>
      </c>
      <c r="AE5" s="46">
        <v>26</v>
      </c>
      <c r="AF5" s="46">
        <v>27</v>
      </c>
      <c r="AG5" s="46">
        <v>28</v>
      </c>
      <c r="AH5" s="46">
        <v>29</v>
      </c>
      <c r="AI5" s="46">
        <v>30</v>
      </c>
      <c r="AJ5" s="46">
        <v>31</v>
      </c>
    </row>
    <row r="6" spans="1:36" ht="15.75" thickTop="1" x14ac:dyDescent="0.2">
      <c r="A6" s="47" t="s">
        <v>38</v>
      </c>
      <c r="B6" s="48">
        <v>250</v>
      </c>
      <c r="C6" s="48">
        <v>500</v>
      </c>
      <c r="D6" s="48"/>
      <c r="E6" s="48"/>
      <c r="F6" s="48">
        <v>9</v>
      </c>
      <c r="G6" s="48">
        <v>6</v>
      </c>
      <c r="H6" s="48">
        <v>14</v>
      </c>
      <c r="I6" s="48">
        <v>2</v>
      </c>
      <c r="J6" s="48">
        <v>7</v>
      </c>
      <c r="K6" s="48">
        <v>3</v>
      </c>
      <c r="L6" s="48">
        <v>3</v>
      </c>
      <c r="M6" s="48">
        <v>9</v>
      </c>
      <c r="N6" s="48">
        <v>9</v>
      </c>
      <c r="O6" s="48">
        <v>8</v>
      </c>
      <c r="P6" s="48">
        <v>13</v>
      </c>
      <c r="Q6" s="48">
        <v>14</v>
      </c>
      <c r="R6" s="48">
        <v>12</v>
      </c>
      <c r="S6" s="48">
        <v>12</v>
      </c>
      <c r="T6" s="48">
        <v>11</v>
      </c>
      <c r="U6" s="48">
        <v>6</v>
      </c>
      <c r="V6" s="48">
        <v>1</v>
      </c>
      <c r="W6" s="48">
        <v>1</v>
      </c>
      <c r="X6" s="48">
        <v>13</v>
      </c>
      <c r="Y6" s="48">
        <v>10</v>
      </c>
      <c r="Z6" s="48">
        <v>9</v>
      </c>
      <c r="AA6" s="48">
        <v>9</v>
      </c>
      <c r="AB6" s="48">
        <v>13</v>
      </c>
      <c r="AC6" s="48">
        <v>12</v>
      </c>
      <c r="AD6" s="48">
        <v>13</v>
      </c>
      <c r="AE6" s="48">
        <v>7</v>
      </c>
      <c r="AF6" s="48">
        <v>9</v>
      </c>
      <c r="AG6" s="48">
        <v>8</v>
      </c>
      <c r="AH6" s="48">
        <v>10</v>
      </c>
      <c r="AI6" s="48">
        <v>10</v>
      </c>
      <c r="AJ6" s="48">
        <v>6</v>
      </c>
    </row>
    <row r="7" spans="1:36" ht="15" x14ac:dyDescent="0.2">
      <c r="A7" s="49" t="s">
        <v>39</v>
      </c>
      <c r="B7" s="13">
        <v>100</v>
      </c>
      <c r="C7" s="13">
        <v>400</v>
      </c>
      <c r="D7" s="48"/>
      <c r="E7" s="48"/>
      <c r="F7" s="13">
        <v>4</v>
      </c>
      <c r="G7" s="13">
        <v>2</v>
      </c>
      <c r="H7" s="13">
        <v>10</v>
      </c>
      <c r="I7" s="13">
        <v>6</v>
      </c>
      <c r="J7" s="13">
        <v>13</v>
      </c>
      <c r="K7" s="13">
        <v>6</v>
      </c>
      <c r="L7" s="13">
        <v>10</v>
      </c>
      <c r="M7" s="13">
        <v>15</v>
      </c>
      <c r="N7" s="13">
        <v>7</v>
      </c>
      <c r="O7" s="13">
        <v>5</v>
      </c>
      <c r="P7" s="13">
        <v>4</v>
      </c>
      <c r="Q7" s="13">
        <v>7</v>
      </c>
      <c r="R7" s="13">
        <v>11</v>
      </c>
      <c r="S7" s="13">
        <v>14</v>
      </c>
      <c r="T7" s="13">
        <v>2</v>
      </c>
      <c r="U7" s="13">
        <v>11</v>
      </c>
      <c r="V7" s="13">
        <v>2</v>
      </c>
      <c r="W7" s="13">
        <v>3</v>
      </c>
      <c r="X7" s="13">
        <v>9</v>
      </c>
      <c r="Y7" s="13">
        <v>11</v>
      </c>
      <c r="Z7" s="13">
        <v>7</v>
      </c>
      <c r="AA7" s="13">
        <v>6</v>
      </c>
      <c r="AB7" s="13">
        <v>9</v>
      </c>
      <c r="AC7" s="13">
        <v>15</v>
      </c>
      <c r="AD7" s="13">
        <v>3</v>
      </c>
      <c r="AE7" s="13">
        <v>10</v>
      </c>
      <c r="AF7" s="13">
        <v>1</v>
      </c>
      <c r="AG7" s="13">
        <v>5</v>
      </c>
      <c r="AH7" s="13">
        <v>12</v>
      </c>
      <c r="AI7" s="13">
        <v>7</v>
      </c>
      <c r="AJ7" s="13">
        <v>2</v>
      </c>
    </row>
    <row r="8" spans="1:36" ht="15" x14ac:dyDescent="0.2">
      <c r="A8" s="49" t="s">
        <v>40</v>
      </c>
      <c r="B8" s="13">
        <v>100</v>
      </c>
      <c r="C8" s="13">
        <v>400</v>
      </c>
      <c r="D8" s="48"/>
      <c r="E8" s="48"/>
      <c r="F8" s="13">
        <v>3</v>
      </c>
      <c r="G8" s="13">
        <v>12</v>
      </c>
      <c r="H8" s="13">
        <v>15</v>
      </c>
      <c r="I8" s="13">
        <v>11</v>
      </c>
      <c r="J8" s="13">
        <v>15</v>
      </c>
      <c r="K8" s="13">
        <v>7</v>
      </c>
      <c r="L8" s="13">
        <v>4</v>
      </c>
      <c r="M8" s="13">
        <v>9</v>
      </c>
      <c r="N8" s="13">
        <v>11</v>
      </c>
      <c r="O8" s="13">
        <v>14</v>
      </c>
      <c r="P8" s="13">
        <v>3</v>
      </c>
      <c r="Q8" s="13">
        <v>1</v>
      </c>
      <c r="R8" s="13">
        <v>13</v>
      </c>
      <c r="S8" s="13">
        <v>12</v>
      </c>
      <c r="T8" s="13">
        <v>1</v>
      </c>
      <c r="U8" s="13">
        <v>5</v>
      </c>
      <c r="V8" s="13">
        <v>10</v>
      </c>
      <c r="W8" s="13">
        <v>11</v>
      </c>
      <c r="X8" s="13">
        <v>12</v>
      </c>
      <c r="Y8" s="13">
        <v>11</v>
      </c>
      <c r="Z8" s="13">
        <v>7</v>
      </c>
      <c r="AA8" s="13">
        <v>14</v>
      </c>
      <c r="AB8" s="13">
        <v>5</v>
      </c>
      <c r="AC8" s="13">
        <v>14</v>
      </c>
      <c r="AD8" s="13">
        <v>6</v>
      </c>
      <c r="AE8" s="13">
        <v>13</v>
      </c>
      <c r="AF8" s="13">
        <v>14</v>
      </c>
      <c r="AG8" s="13">
        <v>7</v>
      </c>
      <c r="AH8" s="13">
        <v>8</v>
      </c>
      <c r="AI8" s="13">
        <v>8</v>
      </c>
      <c r="AJ8" s="13">
        <v>8</v>
      </c>
    </row>
    <row r="9" spans="1:36" ht="15" x14ac:dyDescent="0.2">
      <c r="A9" s="49" t="s">
        <v>41</v>
      </c>
      <c r="B9" s="13">
        <v>150</v>
      </c>
      <c r="C9" s="13">
        <v>450</v>
      </c>
      <c r="D9" s="48"/>
      <c r="E9" s="48"/>
      <c r="F9" s="13">
        <v>10</v>
      </c>
      <c r="G9" s="13">
        <v>11</v>
      </c>
      <c r="H9" s="13">
        <v>8</v>
      </c>
      <c r="I9" s="13">
        <v>8</v>
      </c>
      <c r="J9" s="13">
        <v>7</v>
      </c>
      <c r="K9" s="13">
        <v>10</v>
      </c>
      <c r="L9" s="13">
        <v>1</v>
      </c>
      <c r="M9" s="13">
        <v>13</v>
      </c>
      <c r="N9" s="13">
        <v>3</v>
      </c>
      <c r="O9" s="13">
        <v>2</v>
      </c>
      <c r="P9" s="13">
        <v>3</v>
      </c>
      <c r="Q9" s="13">
        <v>14</v>
      </c>
      <c r="R9" s="13">
        <v>9</v>
      </c>
      <c r="S9" s="13">
        <v>14</v>
      </c>
      <c r="T9" s="13">
        <v>13</v>
      </c>
      <c r="U9" s="13">
        <v>15</v>
      </c>
      <c r="V9" s="13">
        <v>7</v>
      </c>
      <c r="W9" s="13">
        <v>13</v>
      </c>
      <c r="X9" s="13">
        <v>13</v>
      </c>
      <c r="Y9" s="13">
        <v>11</v>
      </c>
      <c r="Z9" s="13">
        <v>12</v>
      </c>
      <c r="AA9" s="13">
        <v>3</v>
      </c>
      <c r="AB9" s="13">
        <v>14</v>
      </c>
      <c r="AC9" s="13">
        <v>10</v>
      </c>
      <c r="AD9" s="13">
        <v>13</v>
      </c>
      <c r="AE9" s="13">
        <v>15</v>
      </c>
      <c r="AF9" s="13">
        <v>2</v>
      </c>
      <c r="AG9" s="13">
        <v>8</v>
      </c>
      <c r="AH9" s="13">
        <v>8</v>
      </c>
      <c r="AI9" s="13">
        <v>12</v>
      </c>
      <c r="AJ9" s="13">
        <v>5</v>
      </c>
    </row>
    <row r="10" spans="1:36" ht="15" x14ac:dyDescent="0.2">
      <c r="A10" s="49" t="s">
        <v>42</v>
      </c>
      <c r="B10" s="13">
        <v>50</v>
      </c>
      <c r="C10" s="13">
        <v>300</v>
      </c>
      <c r="D10" s="48"/>
      <c r="E10" s="48"/>
      <c r="F10" s="13">
        <v>5</v>
      </c>
      <c r="G10" s="13">
        <v>7</v>
      </c>
      <c r="H10" s="13">
        <v>10</v>
      </c>
      <c r="I10" s="13">
        <v>5</v>
      </c>
      <c r="J10" s="13">
        <v>13</v>
      </c>
      <c r="K10" s="13">
        <v>3</v>
      </c>
      <c r="L10" s="13">
        <v>13</v>
      </c>
      <c r="M10" s="13">
        <v>14</v>
      </c>
      <c r="N10" s="13">
        <v>15</v>
      </c>
      <c r="O10" s="13">
        <v>14</v>
      </c>
      <c r="P10" s="13">
        <v>15</v>
      </c>
      <c r="Q10" s="13">
        <v>15</v>
      </c>
      <c r="R10" s="13">
        <v>3</v>
      </c>
      <c r="S10" s="13">
        <v>9</v>
      </c>
      <c r="T10" s="13">
        <v>13</v>
      </c>
      <c r="U10" s="13">
        <v>3</v>
      </c>
      <c r="V10" s="13">
        <v>3</v>
      </c>
      <c r="W10" s="13">
        <v>7</v>
      </c>
      <c r="X10" s="13">
        <v>11</v>
      </c>
      <c r="Y10" s="13">
        <v>9</v>
      </c>
      <c r="Z10" s="13">
        <v>13</v>
      </c>
      <c r="AA10" s="13">
        <v>12</v>
      </c>
      <c r="AB10" s="13">
        <v>3</v>
      </c>
      <c r="AC10" s="13">
        <v>9</v>
      </c>
      <c r="AD10" s="13">
        <v>14</v>
      </c>
      <c r="AE10" s="13">
        <v>10</v>
      </c>
      <c r="AF10" s="13">
        <v>13</v>
      </c>
      <c r="AG10" s="13">
        <v>2</v>
      </c>
      <c r="AH10" s="13">
        <v>5</v>
      </c>
      <c r="AI10" s="13">
        <v>2</v>
      </c>
      <c r="AJ10" s="13">
        <v>8</v>
      </c>
    </row>
    <row r="11" spans="1:36" ht="15" x14ac:dyDescent="0.2">
      <c r="A11" s="49" t="s">
        <v>44</v>
      </c>
      <c r="B11" s="13">
        <v>70</v>
      </c>
      <c r="C11" s="13">
        <v>350</v>
      </c>
      <c r="D11" s="48"/>
      <c r="E11" s="48"/>
      <c r="F11" s="13">
        <v>14</v>
      </c>
      <c r="G11" s="13">
        <v>1</v>
      </c>
      <c r="H11" s="13">
        <v>2</v>
      </c>
      <c r="I11" s="13">
        <v>8</v>
      </c>
      <c r="J11" s="13">
        <v>8</v>
      </c>
      <c r="K11" s="13">
        <v>13</v>
      </c>
      <c r="L11" s="13">
        <v>9</v>
      </c>
      <c r="M11" s="13">
        <v>5</v>
      </c>
      <c r="N11" s="13">
        <v>4</v>
      </c>
      <c r="O11" s="13">
        <v>8</v>
      </c>
      <c r="P11" s="13">
        <v>6</v>
      </c>
      <c r="Q11" s="13">
        <v>3</v>
      </c>
      <c r="R11" s="13">
        <v>6</v>
      </c>
      <c r="S11" s="13">
        <v>4</v>
      </c>
      <c r="T11" s="13">
        <v>4</v>
      </c>
      <c r="U11" s="13">
        <v>2</v>
      </c>
      <c r="V11" s="13">
        <v>9</v>
      </c>
      <c r="W11" s="13">
        <v>15</v>
      </c>
      <c r="X11" s="13">
        <v>10</v>
      </c>
      <c r="Y11" s="13">
        <v>7</v>
      </c>
      <c r="Z11" s="13">
        <v>14</v>
      </c>
      <c r="AA11" s="13">
        <v>12</v>
      </c>
      <c r="AB11" s="13">
        <v>2</v>
      </c>
      <c r="AC11" s="13">
        <v>11</v>
      </c>
      <c r="AD11" s="13">
        <v>11</v>
      </c>
      <c r="AE11" s="13">
        <v>3</v>
      </c>
      <c r="AF11" s="13">
        <v>11</v>
      </c>
      <c r="AG11" s="13">
        <v>13</v>
      </c>
      <c r="AH11" s="13">
        <v>15</v>
      </c>
      <c r="AI11" s="13">
        <v>1</v>
      </c>
      <c r="AJ11" s="13">
        <v>8</v>
      </c>
    </row>
    <row r="12" spans="1:36" s="6" customFormat="1" ht="15" x14ac:dyDescent="0.2">
      <c r="A12" s="49" t="s">
        <v>43</v>
      </c>
      <c r="B12" s="13">
        <v>50</v>
      </c>
      <c r="C12" s="13">
        <v>300</v>
      </c>
      <c r="D12" s="48"/>
      <c r="E12" s="48"/>
      <c r="F12" s="13">
        <v>1</v>
      </c>
      <c r="G12" s="13">
        <v>7</v>
      </c>
      <c r="H12" s="13">
        <v>5</v>
      </c>
      <c r="I12" s="13">
        <v>6</v>
      </c>
      <c r="J12" s="13">
        <v>15</v>
      </c>
      <c r="K12" s="13">
        <v>8</v>
      </c>
      <c r="L12" s="13">
        <v>10</v>
      </c>
      <c r="M12" s="13">
        <v>15</v>
      </c>
      <c r="N12" s="13">
        <v>5</v>
      </c>
      <c r="O12" s="13">
        <v>2</v>
      </c>
      <c r="P12" s="13">
        <v>15</v>
      </c>
      <c r="Q12" s="13">
        <v>3</v>
      </c>
      <c r="R12" s="13">
        <v>12</v>
      </c>
      <c r="S12" s="13">
        <v>10</v>
      </c>
      <c r="T12" s="13">
        <v>11</v>
      </c>
      <c r="U12" s="13">
        <v>3</v>
      </c>
      <c r="V12" s="13">
        <v>8</v>
      </c>
      <c r="W12" s="13">
        <v>10</v>
      </c>
      <c r="X12" s="13">
        <v>10</v>
      </c>
      <c r="Y12" s="13">
        <v>3</v>
      </c>
      <c r="Z12" s="13">
        <v>1</v>
      </c>
      <c r="AA12" s="13">
        <v>10</v>
      </c>
      <c r="AB12" s="13">
        <v>7</v>
      </c>
      <c r="AC12" s="13">
        <v>10</v>
      </c>
      <c r="AD12" s="13">
        <v>2</v>
      </c>
      <c r="AE12" s="13">
        <v>9</v>
      </c>
      <c r="AF12" s="13">
        <v>9</v>
      </c>
      <c r="AG12" s="13">
        <v>8</v>
      </c>
      <c r="AH12" s="13">
        <v>11</v>
      </c>
      <c r="AI12" s="13">
        <v>5</v>
      </c>
      <c r="AJ12" s="13">
        <v>8</v>
      </c>
    </row>
  </sheetData>
  <mergeCells count="6">
    <mergeCell ref="F4:AJ4"/>
    <mergeCell ref="A4:A5"/>
    <mergeCell ref="B4:B5"/>
    <mergeCell ref="C4:C5"/>
    <mergeCell ref="D4:D5"/>
    <mergeCell ref="E4:E5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C16" sqref="C16"/>
    </sheetView>
  </sheetViews>
  <sheetFormatPr defaultRowHeight="12.75" x14ac:dyDescent="0.2"/>
  <cols>
    <col min="1" max="1" width="11" customWidth="1"/>
    <col min="2" max="2" width="22" customWidth="1"/>
    <col min="3" max="3" width="18.140625" customWidth="1"/>
    <col min="4" max="4" width="21.5703125" customWidth="1"/>
    <col min="5" max="5" width="18.85546875" customWidth="1"/>
    <col min="6" max="6" width="12.140625" customWidth="1"/>
    <col min="7" max="7" width="26.5703125" customWidth="1"/>
  </cols>
  <sheetData>
    <row r="1" spans="1:7" x14ac:dyDescent="0.2">
      <c r="A1" s="32" t="s">
        <v>74</v>
      </c>
      <c r="B1" s="32"/>
      <c r="C1" s="32"/>
      <c r="D1" s="32"/>
      <c r="E1" s="32"/>
      <c r="F1" s="32"/>
      <c r="G1" s="32"/>
    </row>
    <row r="2" spans="1:7" x14ac:dyDescent="0.2">
      <c r="A2" s="32"/>
      <c r="B2" s="32"/>
      <c r="C2" s="32"/>
      <c r="D2" s="32"/>
      <c r="E2" s="32"/>
      <c r="F2" s="32"/>
      <c r="G2" s="32"/>
    </row>
    <row r="3" spans="1:7" x14ac:dyDescent="0.2">
      <c r="A3" s="32"/>
      <c r="B3" s="32"/>
      <c r="C3" s="32"/>
      <c r="D3" s="32"/>
      <c r="E3" s="32"/>
      <c r="F3" s="32"/>
      <c r="G3" s="32"/>
    </row>
    <row r="4" spans="1:7" ht="45" x14ac:dyDescent="0.2">
      <c r="A4" s="33" t="s">
        <v>75</v>
      </c>
      <c r="B4" s="33" t="s">
        <v>76</v>
      </c>
      <c r="C4" s="33" t="s">
        <v>77</v>
      </c>
      <c r="D4" s="33" t="s">
        <v>78</v>
      </c>
      <c r="E4" s="33" t="s">
        <v>79</v>
      </c>
      <c r="F4" s="34" t="s">
        <v>80</v>
      </c>
      <c r="G4" s="34" t="s">
        <v>81</v>
      </c>
    </row>
    <row r="5" spans="1:7" ht="15" x14ac:dyDescent="0.2">
      <c r="A5" s="35">
        <v>576</v>
      </c>
      <c r="B5" s="35" t="s">
        <v>82</v>
      </c>
      <c r="C5" s="36">
        <v>29621</v>
      </c>
      <c r="D5" s="36">
        <v>36077</v>
      </c>
      <c r="E5" s="37">
        <v>2125</v>
      </c>
      <c r="F5" s="35">
        <v>0</v>
      </c>
      <c r="G5" s="37"/>
    </row>
    <row r="6" spans="1:7" ht="15" x14ac:dyDescent="0.2">
      <c r="A6" s="38">
        <v>1162</v>
      </c>
      <c r="B6" s="38" t="s">
        <v>83</v>
      </c>
      <c r="C6" s="39">
        <v>27581</v>
      </c>
      <c r="D6" s="39">
        <v>34825</v>
      </c>
      <c r="E6" s="40">
        <v>7958.54</v>
      </c>
      <c r="F6" s="38">
        <v>3</v>
      </c>
      <c r="G6" s="40"/>
    </row>
    <row r="7" spans="1:7" ht="15" x14ac:dyDescent="0.2">
      <c r="A7" s="38">
        <v>778</v>
      </c>
      <c r="B7" s="38" t="s">
        <v>84</v>
      </c>
      <c r="C7" s="39">
        <v>26032</v>
      </c>
      <c r="D7" s="39">
        <v>36379</v>
      </c>
      <c r="E7" s="40">
        <v>3598</v>
      </c>
      <c r="F7" s="38">
        <v>2</v>
      </c>
      <c r="G7" s="40"/>
    </row>
    <row r="8" spans="1:7" ht="15" x14ac:dyDescent="0.2">
      <c r="A8" s="38">
        <v>277</v>
      </c>
      <c r="B8" s="38" t="s">
        <v>85</v>
      </c>
      <c r="C8" s="39">
        <v>30169</v>
      </c>
      <c r="D8" s="39">
        <v>36904</v>
      </c>
      <c r="E8" s="40">
        <v>2930</v>
      </c>
      <c r="F8" s="38">
        <v>1</v>
      </c>
      <c r="G8" s="40"/>
    </row>
    <row r="9" spans="1:7" ht="15" x14ac:dyDescent="0.2">
      <c r="A9" s="38">
        <v>333</v>
      </c>
      <c r="B9" s="38" t="s">
        <v>86</v>
      </c>
      <c r="C9" s="39">
        <v>26731</v>
      </c>
      <c r="D9" s="39">
        <v>37217</v>
      </c>
      <c r="E9" s="40">
        <v>2668</v>
      </c>
      <c r="F9" s="38">
        <v>0</v>
      </c>
      <c r="G9" s="40"/>
    </row>
    <row r="10" spans="1:7" ht="15" x14ac:dyDescent="0.2">
      <c r="A10" s="38">
        <v>548</v>
      </c>
      <c r="B10" s="38" t="s">
        <v>87</v>
      </c>
      <c r="C10" s="39">
        <v>26449</v>
      </c>
      <c r="D10" s="39">
        <v>34766</v>
      </c>
      <c r="E10" s="40">
        <v>2895</v>
      </c>
      <c r="F10" s="38">
        <v>3</v>
      </c>
      <c r="G10" s="40"/>
    </row>
    <row r="11" spans="1:7" ht="15" x14ac:dyDescent="0.2">
      <c r="A11" s="38">
        <v>128</v>
      </c>
      <c r="B11" s="38" t="s">
        <v>88</v>
      </c>
      <c r="C11" s="39">
        <v>29002</v>
      </c>
      <c r="D11" s="39">
        <v>37011</v>
      </c>
      <c r="E11" s="40">
        <v>1148</v>
      </c>
      <c r="F11" s="38">
        <v>2</v>
      </c>
      <c r="G11" s="40"/>
    </row>
  </sheetData>
  <mergeCells count="1">
    <mergeCell ref="A1:G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 1</vt:lpstr>
      <vt:lpstr>Planilha 2</vt:lpstr>
      <vt:lpstr>Planilha 3</vt:lpstr>
      <vt:lpstr>Planilha 4</vt:lpstr>
      <vt:lpstr>Planilha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CCE</cp:lastModifiedBy>
  <cp:lastPrinted>2003-12-11T17:12:55Z</cp:lastPrinted>
  <dcterms:created xsi:type="dcterms:W3CDTF">1997-01-10T22:22:50Z</dcterms:created>
  <dcterms:modified xsi:type="dcterms:W3CDTF">2019-05-27T23:27:53Z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72ed40b0-a787-4d7b-830f-829ecce98a5d</vt:lpwstr>
  </property>
</Properties>
</file>